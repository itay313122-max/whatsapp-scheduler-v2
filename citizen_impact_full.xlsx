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סיכום כללי" sheetId="1" state="visible" r:id="rId1"/>
    <sheet name="🛠️ מוצר וטכנולוגיה" sheetId="2" state="visible" r:id="rId2"/>
    <sheet name="👥 צוות ומשקיעים" sheetId="3" state="visible" r:id="rId3"/>
    <sheet name="📈 מודל עסק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10B981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563EB"/>
      </patternFill>
    </fill>
    <fill>
      <patternFill patternType="solid">
        <fgColor rgb="00F59E0B"/>
      </patternFill>
    </fill>
    <fill>
      <patternFill patternType="solid">
        <fgColor rgb="00DBEAF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right" vertical="center" wrapText="1" readingOrder="2"/>
    </xf>
    <xf numFmtId="0" fontId="6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right" vertical="center" wrapText="1" readingOrder="2"/>
    </xf>
    <xf numFmtId="1" fontId="6" fillId="5" borderId="1" applyAlignment="1" pivotButton="0" quotePrefix="0" xfId="0">
      <alignment horizontal="right" vertical="center" wrapText="1" readingOrder="2"/>
    </xf>
    <xf numFmtId="9" fontId="7" fillId="5" borderId="1" applyAlignment="1" pivotButton="0" quotePrefix="0" xfId="0">
      <alignment horizontal="center" vertical="center" wrapText="1" readingOrder="2"/>
    </xf>
    <xf numFmtId="1" fontId="6" fillId="6" borderId="1" applyAlignment="1" pivotButton="0" quotePrefix="0" xfId="0">
      <alignment horizontal="right" vertical="center" wrapText="1" readingOrder="2"/>
    </xf>
    <xf numFmtId="9" fontId="7" fillId="6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9" fontId="4" fillId="2" borderId="1" applyAlignment="1" pivotButton="0" quotePrefix="0" xfId="0">
      <alignment horizontal="center" vertical="center" wrapText="1" readingOrder="2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horizontal="center" vertical="center" wrapText="1" readingOrder="2"/>
    </xf>
    <xf numFmtId="164" fontId="6" fillId="5" borderId="1" applyAlignment="1" pivotButton="0" quotePrefix="0" xfId="0">
      <alignment horizontal="right" vertical="center" wrapText="1" readingOrder="2"/>
    </xf>
    <xf numFmtId="164" fontId="6" fillId="6" borderId="1" applyAlignment="1" pivotButton="0" quotePrefix="0" xfId="0">
      <alignment horizontal="right" vertical="center" wrapText="1" readingOrder="2"/>
    </xf>
    <xf numFmtId="165" fontId="4" fillId="2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center" vertical="center" wrapText="1" readingOrder="2"/>
    </xf>
    <xf numFmtId="0" fontId="7" fillId="5" borderId="1" applyAlignment="1" pivotButton="0" quotePrefix="0" xfId="0">
      <alignment horizontal="right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7" fillId="6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20" customWidth="1" min="4" max="4"/>
  </cols>
  <sheetData>
    <row r="1" ht="36" customHeight="1">
      <c r="A1" s="1" t="inlineStr">
        <is>
          <t>Citizen Impact — סיטיזן אימפקט | סיכום כללי</t>
        </is>
      </c>
    </row>
    <row r="2" ht="24" customHeight="1">
      <c r="A2" s="2" t="inlineStr">
        <is>
          <t>פלטפורמת AI לחוסן פיננסי | FinTech | תל אביב, 2021</t>
        </is>
      </c>
    </row>
    <row r="4" ht="22" customHeight="1">
      <c r="A4" s="3" t="inlineStr">
        <is>
          <t>🏢  פרטי החברה</t>
        </is>
      </c>
    </row>
    <row r="5" ht="20" customHeight="1">
      <c r="A5" s="4" t="inlineStr">
        <is>
          <t>שדה</t>
        </is>
      </c>
      <c r="B5" s="4" t="inlineStr">
        <is>
          <t>ערך / פרטים</t>
        </is>
      </c>
      <c r="C5" s="5" t="n"/>
      <c r="D5" s="6" t="n"/>
    </row>
    <row r="6" ht="18" customHeight="1">
      <c r="A6" s="7" t="inlineStr">
        <is>
          <t>שם החברה</t>
        </is>
      </c>
      <c r="B6" s="8" t="inlineStr">
        <is>
          <t>Citizen Impact / סיטיזן אימפקט</t>
        </is>
      </c>
    </row>
    <row r="7" ht="18" customHeight="1">
      <c r="A7" s="9" t="inlineStr">
        <is>
          <t>תחום</t>
        </is>
      </c>
      <c r="B7" s="10" t="inlineStr">
        <is>
          <t>FinTech | AI פיננסי | חוסן פיננסי</t>
        </is>
      </c>
    </row>
    <row r="8" ht="18" customHeight="1">
      <c r="A8" s="7" t="inlineStr">
        <is>
          <t>שנת הקמה</t>
        </is>
      </c>
      <c r="B8" s="8" t="inlineStr">
        <is>
          <t>2021</t>
        </is>
      </c>
    </row>
    <row r="9" ht="18" customHeight="1">
      <c r="A9" s="9" t="inlineStr">
        <is>
          <t>מיקום</t>
        </is>
      </c>
      <c r="B9" s="10" t="inlineStr">
        <is>
          <t>תל אביב, ישראל</t>
        </is>
      </c>
    </row>
    <row r="10" ht="18" customHeight="1">
      <c r="A10" s="7" t="inlineStr">
        <is>
          <t>אתר B2B</t>
        </is>
      </c>
      <c r="B10" s="8" t="inlineStr">
        <is>
          <t>www.citizens-ai.com</t>
        </is>
      </c>
    </row>
    <row r="11" ht="18" customHeight="1">
      <c r="A11" s="9" t="inlineStr">
        <is>
          <t>פלטפורמת לקוחות</t>
        </is>
      </c>
      <c r="B11" s="10" t="inlineStr">
        <is>
          <t>landing.is.citizen-ai.org</t>
        </is>
      </c>
    </row>
    <row r="12" ht="18" customHeight="1">
      <c r="A12" s="7" t="inlineStr">
        <is>
          <t>אימייל</t>
        </is>
      </c>
      <c r="B12" s="8" t="inlineStr">
        <is>
          <t>info@citizens-ai.com</t>
        </is>
      </c>
    </row>
    <row r="13" ht="18" customHeight="1">
      <c r="A13" s="9" t="inlineStr">
        <is>
          <t>טלפון</t>
        </is>
      </c>
      <c r="B13" s="10" t="inlineStr">
        <is>
          <t>074-7281259</t>
        </is>
      </c>
    </row>
    <row r="15" ht="22" customHeight="1">
      <c r="A15" s="3" t="inlineStr">
        <is>
          <t>🎯  חזון ומשימה</t>
        </is>
      </c>
    </row>
    <row r="16" ht="22" customHeight="1">
      <c r="A16" s="7" t="inlineStr">
        <is>
          <t>חזון</t>
        </is>
      </c>
      <c r="B16" s="8" t="inlineStr">
        <is>
          <t>להפוך חוסן פיננסי לנגיש לכל אזרח — בכל שלב בחיים</t>
        </is>
      </c>
    </row>
    <row r="17" ht="22" customHeight="1">
      <c r="A17" s="9" t="inlineStr">
        <is>
          <t>משימה</t>
        </is>
      </c>
      <c r="B17" s="10" t="inlineStr">
        <is>
          <t>מערכת AI שמזהה, מנבאת ומנחה משפחות לשיקום פיננסי אמיתי</t>
        </is>
      </c>
    </row>
    <row r="18" ht="22" customHeight="1">
      <c r="A18" s="7" t="inlineStr">
        <is>
          <t>ייחודיות</t>
        </is>
      </c>
      <c r="B18" s="8" t="inlineStr">
        <is>
          <t>שילוב פסיכולוגיה פיננסית, AI ונתוני בנקים בזמן אמת</t>
        </is>
      </c>
    </row>
    <row r="19" ht="22" customHeight="1">
      <c r="A19" s="9" t="inlineStr">
        <is>
          <t>קהל יעד</t>
        </is>
      </c>
      <c r="B19" s="10" t="inlineStr">
        <is>
          <t>אזרחים פרטיים, מוסדות פיננסיים, עיריות ורשויות ממשל</t>
        </is>
      </c>
    </row>
    <row r="21" ht="22" customHeight="1">
      <c r="A21" s="3" t="inlineStr">
        <is>
          <t>📊  KPIs מרכזיים</t>
        </is>
      </c>
    </row>
    <row r="22" ht="20" customHeight="1">
      <c r="A22" s="4" t="inlineStr">
        <is>
          <t>מדד</t>
        </is>
      </c>
      <c r="B22" s="4" t="inlineStr">
        <is>
          <t>ערך בסיס (%)</t>
        </is>
      </c>
      <c r="C22" s="4" t="inlineStr">
        <is>
          <t>אחוז (נוסחה)</t>
        </is>
      </c>
      <c r="D22" s="4" t="inlineStr">
        <is>
          <t>סטטוס</t>
        </is>
      </c>
    </row>
    <row r="23" ht="18" customHeight="1">
      <c r="A23" s="7" t="inlineStr">
        <is>
          <t>גידול בהכנסות — משתמשים שהשיגו</t>
        </is>
      </c>
      <c r="B23" s="11" t="n">
        <v>80</v>
      </c>
      <c r="C23" s="12">
        <f>B23/100</f>
        <v/>
      </c>
      <c r="D23" s="8" t="inlineStr">
        <is>
          <t>מוכח</t>
        </is>
      </c>
    </row>
    <row r="24" ht="18" customHeight="1">
      <c r="A24" s="9" t="inlineStr">
        <is>
          <t>גידול בהכנסות — שיעור שיפור</t>
        </is>
      </c>
      <c r="B24" s="13" t="n">
        <v>20</v>
      </c>
      <c r="C24" s="14">
        <f>B24/100</f>
        <v/>
      </c>
      <c r="D24" s="10" t="inlineStr">
        <is>
          <t>מוכח</t>
        </is>
      </c>
    </row>
    <row r="25" ht="18" customHeight="1">
      <c r="A25" s="7" t="inlineStr">
        <is>
          <t>מגירעון ליתרת זכות</t>
        </is>
      </c>
      <c r="B25" s="11" t="n">
        <v>75</v>
      </c>
      <c r="C25" s="12">
        <f>B25/100</f>
        <v/>
      </c>
      <c r="D25" s="8" t="inlineStr">
        <is>
          <t>מוכח</t>
        </is>
      </c>
    </row>
    <row r="26" ht="18" customHeight="1">
      <c r="A26" s="9" t="inlineStr">
        <is>
          <t>כשירות אשראי</t>
        </is>
      </c>
      <c r="B26" s="13" t="n">
        <v>90</v>
      </c>
      <c r="C26" s="14">
        <f>B26/100</f>
        <v/>
      </c>
      <c r="D26" s="10" t="inlineStr">
        <is>
          <t>מוכח</t>
        </is>
      </c>
    </row>
    <row r="27" ht="22" customHeight="1">
      <c r="A27" s="15" t="inlineStr">
        <is>
          <t>ממוצע KPIs (נוסחה)</t>
        </is>
      </c>
      <c r="C27" s="16">
        <f>AVERAGE(B23:B26)/100</f>
        <v/>
      </c>
      <c r="D27" s="17" t="inlineStr"/>
    </row>
  </sheetData>
  <mergeCells count="19">
    <mergeCell ref="B11:D11"/>
    <mergeCell ref="A4:D4"/>
    <mergeCell ref="B8:D8"/>
    <mergeCell ref="B17:D17"/>
    <mergeCell ref="B13:D13"/>
    <mergeCell ref="B10:D10"/>
    <mergeCell ref="B19:D19"/>
    <mergeCell ref="B9:D9"/>
    <mergeCell ref="A15:D15"/>
    <mergeCell ref="A27:B27"/>
    <mergeCell ref="B6:D6"/>
    <mergeCell ref="A1:D1"/>
    <mergeCell ref="B5:D5"/>
    <mergeCell ref="B7:D7"/>
    <mergeCell ref="B16:D16"/>
    <mergeCell ref="A21:D21"/>
    <mergeCell ref="B18:D18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25" customWidth="1" min="4" max="4"/>
  </cols>
  <sheetData>
    <row r="1" ht="36" customHeight="1">
      <c r="A1" s="1" t="inlineStr">
        <is>
          <t>מוצר וטכנולוגיה — 5 שלבי המערכת</t>
        </is>
      </c>
    </row>
    <row r="2" ht="24" customHeight="1">
      <c r="A2" s="18" t="inlineStr">
        <is>
          <t>פלטפורמת AI לחוסן פיננסי | זיהוי · חיזוי · ליווי · אוטומציה · ניהול</t>
        </is>
      </c>
    </row>
    <row r="4" ht="22" customHeight="1">
      <c r="A4" s="3" t="inlineStr">
        <is>
          <t>🔄  5 שלבי הפלטפורמה</t>
        </is>
      </c>
    </row>
    <row r="5" ht="20" customHeight="1">
      <c r="A5" s="4" t="inlineStr">
        <is>
          <t>שלב</t>
        </is>
      </c>
      <c r="B5" s="4" t="inlineStr">
        <is>
          <t>שם השלב</t>
        </is>
      </c>
      <c r="C5" s="4" t="inlineStr">
        <is>
          <t>תיאור</t>
        </is>
      </c>
      <c r="D5" s="4" t="inlineStr">
        <is>
          <t>טכנולוגיה</t>
        </is>
      </c>
    </row>
    <row r="6" ht="40" customHeight="1">
      <c r="A6" s="19" t="inlineStr">
        <is>
          <t>1</t>
        </is>
      </c>
      <c r="B6" s="7" t="inlineStr">
        <is>
          <t>זיהוי מסלול ליווי</t>
        </is>
      </c>
      <c r="C6" s="8" t="inlineStr">
        <is>
          <t>מזהה משפחות בסיכון פיננסי בזמן אמת על בסיס נתוני בנק</t>
        </is>
      </c>
      <c r="D6" s="8" t="inlineStr">
        <is>
          <t>Real-time AI | Data Analytics</t>
        </is>
      </c>
    </row>
    <row r="7" ht="40" customHeight="1">
      <c r="A7" s="20" t="inlineStr">
        <is>
          <t>2</t>
        </is>
      </c>
      <c r="B7" s="9" t="inlineStr">
        <is>
          <t>חיזוי פוטנציאל צמיחה</t>
        </is>
      </c>
      <c r="C7" s="10" t="inlineStr">
        <is>
          <t>מנוע AI מנבא ומייצר תוכנית הבראה פיננסית מותאמת אישית</t>
        </is>
      </c>
      <c r="D7" s="10" t="inlineStr">
        <is>
          <t>ML Prediction | NLP</t>
        </is>
      </c>
    </row>
    <row r="8" ht="40" customHeight="1">
      <c r="A8" s="19" t="inlineStr">
        <is>
          <t>3</t>
        </is>
      </c>
      <c r="B8" s="7" t="inlineStr">
        <is>
          <t>תוכנית ליווי פרסונלית</t>
        </is>
      </c>
      <c r="C8" s="8" t="inlineStr">
        <is>
          <t>מפת שיקום עם צעדים ברורים, ציר זמן ויעדים מדידים</t>
        </is>
      </c>
      <c r="D8" s="8" t="inlineStr">
        <is>
          <t>Personalization Engine</t>
        </is>
      </c>
    </row>
    <row r="9" ht="40" customHeight="1">
      <c r="A9" s="20" t="inlineStr">
        <is>
          <t>4</t>
        </is>
      </c>
      <c r="B9" s="9" t="inlineStr">
        <is>
          <t>אוטומציה של המלצות</t>
        </is>
      </c>
      <c r="C9" s="10" t="inlineStr">
        <is>
          <t>התראות AI בזמן אמת, ללא תיווך ידני — ישירות ללקוח</t>
        </is>
      </c>
      <c r="D9" s="10" t="inlineStr">
        <is>
          <t>Automation | Push AI Alerts</t>
        </is>
      </c>
    </row>
    <row r="10" ht="40" customHeight="1">
      <c r="A10" s="19" t="inlineStr">
        <is>
          <t>5</t>
        </is>
      </c>
      <c r="B10" s="7" t="inlineStr">
        <is>
          <t>ניהול ויישום</t>
        </is>
      </c>
      <c r="C10" s="8" t="inlineStr">
        <is>
          <t>מנטור תוצאות, מעקב KPI, דוחות — עד מימוש מלא</t>
        </is>
      </c>
      <c r="D10" s="8" t="inlineStr">
        <is>
          <t>Dashboard | KPI Tracker</t>
        </is>
      </c>
    </row>
    <row r="12" ht="22" customHeight="1">
      <c r="A12" s="3" t="inlineStr">
        <is>
          <t>📊  KPIs מוכחים — ערכי בסיס</t>
        </is>
      </c>
    </row>
    <row r="13" ht="20" customHeight="1">
      <c r="A13" s="4" t="inlineStr">
        <is>
          <t>מזהה</t>
        </is>
      </c>
      <c r="B13" s="4" t="inlineStr">
        <is>
          <t>מדד</t>
        </is>
      </c>
      <c r="C13" s="4" t="inlineStr">
        <is>
          <t>שיעור (% — בסיס)</t>
        </is>
      </c>
      <c r="D13" s="4" t="inlineStr">
        <is>
          <t>חישוב אחוז</t>
        </is>
      </c>
    </row>
    <row r="14" ht="20" customHeight="1">
      <c r="A14" s="19" t="inlineStr">
        <is>
          <t>K1</t>
        </is>
      </c>
      <c r="B14" s="7" t="inlineStr">
        <is>
          <t>גידול הכנסות — אחוז משתמשים שהשיגו</t>
        </is>
      </c>
      <c r="C14" s="21" t="n">
        <v>80</v>
      </c>
      <c r="D14" s="12">
        <f>C14/100</f>
        <v/>
      </c>
    </row>
    <row r="15" ht="20" customHeight="1">
      <c r="A15" s="20" t="inlineStr">
        <is>
          <t>K2</t>
        </is>
      </c>
      <c r="B15" s="9" t="inlineStr">
        <is>
          <t>גידול הכנסות — שיעור שיפור ממוצע</t>
        </is>
      </c>
      <c r="C15" s="22" t="n">
        <v>20</v>
      </c>
      <c r="D15" s="14">
        <f>C15/100</f>
        <v/>
      </c>
    </row>
    <row r="16" ht="20" customHeight="1">
      <c r="A16" s="19" t="inlineStr">
        <is>
          <t>K3</t>
        </is>
      </c>
      <c r="B16" s="7" t="inlineStr">
        <is>
          <t>מגירעון ליתרת זכות</t>
        </is>
      </c>
      <c r="C16" s="21" t="n">
        <v>75</v>
      </c>
      <c r="D16" s="12">
        <f>C16/100</f>
        <v/>
      </c>
    </row>
    <row r="17" ht="20" customHeight="1">
      <c r="A17" s="20" t="inlineStr">
        <is>
          <t>K4</t>
        </is>
      </c>
      <c r="B17" s="9" t="inlineStr">
        <is>
          <t>כשירות אשראי</t>
        </is>
      </c>
      <c r="C17" s="22" t="n">
        <v>90</v>
      </c>
      <c r="D17" s="14">
        <f>C17/100</f>
        <v/>
      </c>
    </row>
    <row r="18" ht="22" customHeight="1">
      <c r="A18" s="15" t="inlineStr">
        <is>
          <t>ממוצע כלל KPIs (נוסחה)</t>
        </is>
      </c>
      <c r="C18" s="23">
        <f>AVERAGE(C14:C17)</f>
        <v/>
      </c>
      <c r="D18" s="16">
        <f>C18/100</f>
        <v/>
      </c>
    </row>
    <row r="20" ht="22" customHeight="1">
      <c r="A20" s="3" t="inlineStr">
        <is>
          <t>🌐  דפי לקוחות פעילים</t>
        </is>
      </c>
    </row>
    <row r="21" ht="20" customHeight="1">
      <c r="A21" s="4" t="inlineStr">
        <is>
          <t>#</t>
        </is>
      </c>
      <c r="B21" s="4" t="inlineStr">
        <is>
          <t>שם הדף</t>
        </is>
      </c>
      <c r="C21" s="4" t="inlineStr">
        <is>
          <t>URL</t>
        </is>
      </c>
      <c r="D21" s="4" t="inlineStr">
        <is>
          <t>סטטוס</t>
        </is>
      </c>
    </row>
    <row r="22" ht="18" customHeight="1">
      <c r="A22" s="24" t="n">
        <v>1</v>
      </c>
      <c r="B22" s="7" t="inlineStr">
        <is>
          <t>CustomerHome35</t>
        </is>
      </c>
      <c r="C22" s="8" t="inlineStr">
        <is>
          <t>client.is.citizen-ai.org/#/?customer=35</t>
        </is>
      </c>
      <c r="D22" s="25" t="inlineStr">
        <is>
          <t>פעיל</t>
        </is>
      </c>
    </row>
    <row r="23" ht="18" customHeight="1">
      <c r="A23" s="26" t="n">
        <v>2</v>
      </c>
      <c r="B23" s="9" t="inlineStr">
        <is>
          <t>CustomerHome36</t>
        </is>
      </c>
      <c r="C23" s="10" t="inlineStr">
        <is>
          <t>client.is.citizen-ai.org/#/?customer=36</t>
        </is>
      </c>
      <c r="D23" s="27" t="inlineStr">
        <is>
          <t>פעיל</t>
        </is>
      </c>
    </row>
    <row r="24" ht="18" customHeight="1">
      <c r="A24" s="24" t="n">
        <v>3</v>
      </c>
      <c r="B24" s="7" t="inlineStr">
        <is>
          <t>CustomerHome37</t>
        </is>
      </c>
      <c r="C24" s="8" t="inlineStr">
        <is>
          <t>client.is.citizen-ai.org/#/?customer=37</t>
        </is>
      </c>
      <c r="D24" s="25" t="inlineStr">
        <is>
          <t>פעיל</t>
        </is>
      </c>
    </row>
    <row r="25" ht="18" customHeight="1">
      <c r="A25" s="26" t="n">
        <v>4</v>
      </c>
      <c r="B25" s="9" t="inlineStr">
        <is>
          <t>CustomerHome42</t>
        </is>
      </c>
      <c r="C25" s="10" t="inlineStr">
        <is>
          <t>client.is.citizen-ai.org/#/?customer=42</t>
        </is>
      </c>
      <c r="D25" s="27" t="inlineStr">
        <is>
          <t>פעיל</t>
        </is>
      </c>
    </row>
    <row r="26" ht="18" customHeight="1">
      <c r="A26" s="24" t="n">
        <v>5</v>
      </c>
      <c r="B26" s="7" t="inlineStr">
        <is>
          <t>CustomerHome44</t>
        </is>
      </c>
      <c r="C26" s="8" t="inlineStr">
        <is>
          <t>landing.is.citizen-ai.org/#/?customer=44</t>
        </is>
      </c>
      <c r="D26" s="25" t="inlineStr">
        <is>
          <t>פעיל</t>
        </is>
      </c>
    </row>
    <row r="27" ht="18" customHeight="1">
      <c r="A27" s="26" t="n">
        <v>6</v>
      </c>
      <c r="B27" s="9" t="inlineStr">
        <is>
          <t>CustomerHome45</t>
        </is>
      </c>
      <c r="C27" s="10" t="inlineStr">
        <is>
          <t>landing.is.citizen-ai.org/#/?customer=45</t>
        </is>
      </c>
      <c r="D27" s="27" t="inlineStr">
        <is>
          <t>פעיל</t>
        </is>
      </c>
    </row>
    <row r="28" ht="18" customHeight="1">
      <c r="A28" s="24" t="n">
        <v>7</v>
      </c>
      <c r="B28" s="7" t="inlineStr">
        <is>
          <t>CustomerHome46</t>
        </is>
      </c>
      <c r="C28" s="8" t="inlineStr">
        <is>
          <t>landing.is.citizen-ai.org/#/?customer=46</t>
        </is>
      </c>
      <c r="D28" s="25" t="inlineStr">
        <is>
          <t>פעיל</t>
        </is>
      </c>
    </row>
    <row r="29" ht="18" customHeight="1">
      <c r="A29" s="26" t="n">
        <v>8</v>
      </c>
      <c r="B29" s="9" t="inlineStr">
        <is>
          <t>CustomerHome47</t>
        </is>
      </c>
      <c r="C29" s="10" t="inlineStr">
        <is>
          <t>landing.is.citizen-ai.org/#/?customer=47</t>
        </is>
      </c>
      <c r="D29" s="27" t="inlineStr">
        <is>
          <t>פעיל</t>
        </is>
      </c>
    </row>
    <row r="30" ht="18" customHeight="1">
      <c r="A30" s="24" t="n">
        <v>9</v>
      </c>
      <c r="B30" s="7" t="inlineStr">
        <is>
          <t>CustomerHome48</t>
        </is>
      </c>
      <c r="C30" s="8" t="inlineStr">
        <is>
          <t>landing.is.citizen-ai.org/#/?customer=48</t>
        </is>
      </c>
      <c r="D30" s="25" t="inlineStr">
        <is>
          <t>פעיל</t>
        </is>
      </c>
    </row>
    <row r="31" ht="18" customHeight="1">
      <c r="A31" s="26" t="n">
        <v>10</v>
      </c>
      <c r="B31" s="9" t="inlineStr">
        <is>
          <t>PrivacyPolicy_47</t>
        </is>
      </c>
      <c r="C31" s="10" t="inlineStr">
        <is>
          <t>landing.is.citizen-ai.org/privacy/47</t>
        </is>
      </c>
      <c r="D31" s="27" t="inlineStr">
        <is>
          <t>פעיל</t>
        </is>
      </c>
    </row>
    <row r="32" ht="18" customHeight="1">
      <c r="A32" s="24" t="n">
        <v>11</v>
      </c>
      <c r="B32" s="7" t="inlineStr">
        <is>
          <t>TermsOfService_47</t>
        </is>
      </c>
      <c r="C32" s="8" t="inlineStr">
        <is>
          <t>landing.is.citizen-ai.org/terms/47</t>
        </is>
      </c>
      <c r="D32" s="25" t="inlineStr">
        <is>
          <t>פעיל</t>
        </is>
      </c>
    </row>
    <row r="33" ht="18" customHeight="1">
      <c r="A33" s="26" t="n">
        <v>12</v>
      </c>
      <c r="B33" s="9" t="inlineStr">
        <is>
          <t>PrivacyPolicy_36/46/48</t>
        </is>
      </c>
      <c r="C33" s="10" t="inlineStr">
        <is>
          <t>landing.is.citizen-ai.org/privacy/...</t>
        </is>
      </c>
      <c r="D33" s="27" t="inlineStr">
        <is>
          <t>פעיל</t>
        </is>
      </c>
    </row>
    <row r="34" ht="22" customHeight="1">
      <c r="A34" s="15" t="inlineStr">
        <is>
          <t>סה"כ דפים פעילים (נוסחה)</t>
        </is>
      </c>
      <c r="C34" s="15">
        <f>COUNTA(B22:B33)</f>
        <v/>
      </c>
      <c r="D34" s="15" t="inlineStr">
        <is>
          <t>דפים</t>
        </is>
      </c>
    </row>
  </sheetData>
  <mergeCells count="7">
    <mergeCell ref="A1:D1"/>
    <mergeCell ref="A12:D12"/>
    <mergeCell ref="A4:D4"/>
    <mergeCell ref="A20:D20"/>
    <mergeCell ref="A2:D2"/>
    <mergeCell ref="A18:B18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20" customWidth="1" min="4" max="4"/>
  </cols>
  <sheetData>
    <row r="1" ht="36" customHeight="1">
      <c r="A1" s="1" t="inlineStr">
        <is>
          <t>צוות מייסדים ומשקיעים — Citizen Impact</t>
        </is>
      </c>
    </row>
    <row r="2" ht="24" customHeight="1">
      <c r="A2" s="18" t="inlineStr">
        <is>
          <t>הנהלה בכירה · משקיעים אסטרטגיים · שותפים</t>
        </is>
      </c>
    </row>
    <row r="4" ht="22" customHeight="1">
      <c r="A4" s="3" t="inlineStr">
        <is>
          <t>👤  צוות מייסדים והנהלה</t>
        </is>
      </c>
    </row>
    <row r="5" ht="20" customHeight="1">
      <c r="A5" s="4" t="inlineStr">
        <is>
          <t>שם</t>
        </is>
      </c>
      <c r="B5" s="4" t="inlineStr">
        <is>
          <t>תפקיד</t>
        </is>
      </c>
      <c r="C5" s="4" t="inlineStr">
        <is>
          <t>התמחות</t>
        </is>
      </c>
      <c r="D5" s="4" t="inlineStr">
        <is>
          <t>ניסיון</t>
        </is>
      </c>
    </row>
    <row r="6" ht="28" customHeight="1">
      <c r="A6" s="7" t="inlineStr">
        <is>
          <t>ד"ר דגנית בידרמן</t>
        </is>
      </c>
      <c r="B6" s="8" t="inlineStr">
        <is>
          <t>מייסדת ומנכ"לית</t>
        </is>
      </c>
      <c r="C6" s="8" t="inlineStr">
        <is>
          <t>פסיכולוגיה פיננסית, AI</t>
        </is>
      </c>
      <c r="D6" s="8" t="inlineStr">
        <is>
          <t>15+ שנה</t>
        </is>
      </c>
    </row>
    <row r="7" ht="28" customHeight="1">
      <c r="A7" s="9" t="inlineStr">
        <is>
          <t>ינון ברוש</t>
        </is>
      </c>
      <c r="B7" s="10" t="inlineStr">
        <is>
          <t>מייסד ו-CTO</t>
        </is>
      </c>
      <c r="C7" s="10" t="inlineStr">
        <is>
          <t>מערכות AI, ארכיטקטורת ענן</t>
        </is>
      </c>
      <c r="D7" s="10" t="inlineStr">
        <is>
          <t>20 שנה</t>
        </is>
      </c>
    </row>
    <row r="8" ht="28" customHeight="1">
      <c r="A8" s="7" t="inlineStr">
        <is>
          <t>שירה רדובן</t>
        </is>
      </c>
      <c r="B8" s="8" t="inlineStr">
        <is>
          <t>CFO</t>
        </is>
      </c>
      <c r="C8" s="8" t="inlineStr">
        <is>
          <t>סיכוני אשראי, גיוס הון</t>
        </is>
      </c>
      <c r="D8" s="8" t="inlineStr">
        <is>
          <t>ניסיון רב</t>
        </is>
      </c>
    </row>
    <row r="9" ht="28" customHeight="1">
      <c r="A9" s="9" t="inlineStr">
        <is>
          <t>ישראל דנצינגר</t>
        </is>
      </c>
      <c r="B9" s="10" t="inlineStr">
        <is>
          <t>יו"ר הדירקטוריון</t>
        </is>
      </c>
      <c r="C9" s="10" t="inlineStr">
        <is>
          <t>היי-טק בינלאומי, ייעוץ</t>
        </is>
      </c>
      <c r="D9" s="10" t="inlineStr">
        <is>
          <t>בכיר</t>
        </is>
      </c>
    </row>
    <row r="10" ht="22" customHeight="1">
      <c r="A10" s="15" t="inlineStr">
        <is>
          <t>סה"כ חברי הנהלה (נוסחה)</t>
        </is>
      </c>
      <c r="D10" s="15">
        <f>COUNTA(A6:A9)</f>
        <v/>
      </c>
    </row>
    <row r="12" ht="22" customHeight="1">
      <c r="A12" s="3" t="inlineStr">
        <is>
          <t>💼  משקיעים ושותפים אסטרטגיים</t>
        </is>
      </c>
    </row>
    <row r="13" ht="20" customHeight="1">
      <c r="A13" s="4" t="inlineStr">
        <is>
          <t>שם / גוף</t>
        </is>
      </c>
      <c r="B13" s="4" t="inlineStr">
        <is>
          <t>תפקיד / קשר</t>
        </is>
      </c>
      <c r="C13" s="5" t="n"/>
      <c r="D13" s="6" t="n"/>
    </row>
    <row r="14" ht="22" customHeight="1">
      <c r="A14" s="7" t="inlineStr">
        <is>
          <t>Mastercard Innovation Lab</t>
        </is>
      </c>
      <c r="B14" s="8" t="inlineStr">
        <is>
          <t>שותף אסטרטגי</t>
        </is>
      </c>
    </row>
    <row r="15" ht="22" customHeight="1">
      <c r="A15" s="9" t="inlineStr">
        <is>
          <t>גליה אלבין</t>
        </is>
      </c>
      <c r="B15" s="10" t="inlineStr">
        <is>
          <t>משקיעה (לשעבר מנכ"לית בנק לאומי)</t>
        </is>
      </c>
    </row>
    <row r="16" ht="22" customHeight="1">
      <c r="A16" s="7" t="inlineStr">
        <is>
          <t>חמי פרס</t>
        </is>
      </c>
      <c r="B16" s="8" t="inlineStr">
        <is>
          <t>משקיע (לשעבר מנכ"ל Pitango)</t>
        </is>
      </c>
    </row>
    <row r="17" ht="22" customHeight="1">
      <c r="A17" s="9" t="inlineStr">
        <is>
          <t>קארון בילסקי</t>
        </is>
      </c>
      <c r="B17" s="10" t="inlineStr">
        <is>
          <t>מייסדת BSP Funds Ltd</t>
        </is>
      </c>
    </row>
    <row r="18" ht="22" customHeight="1">
      <c r="A18" s="7" t="inlineStr">
        <is>
          <t>משרד שבלת</t>
        </is>
      </c>
      <c r="B18" s="8" t="inlineStr">
        <is>
          <t>השקעת אימפקט + ייעוץ משפטי</t>
        </is>
      </c>
    </row>
    <row r="19" ht="22" customHeight="1">
      <c r="A19" s="9" t="inlineStr">
        <is>
          <t>רשות החדשנות</t>
        </is>
      </c>
      <c r="B19" s="10" t="inlineStr">
        <is>
          <t>שותף ממשלתי</t>
        </is>
      </c>
    </row>
    <row r="20" ht="22" customHeight="1">
      <c r="A20" s="7" t="inlineStr">
        <is>
          <t>רשות שוק ההון</t>
        </is>
      </c>
      <c r="B20" s="8" t="inlineStr">
        <is>
          <t>שותף רגולטורי</t>
        </is>
      </c>
    </row>
    <row r="21" ht="22" customHeight="1">
      <c r="A21" s="9" t="inlineStr">
        <is>
          <t>עוגן</t>
        </is>
      </c>
      <c r="B21" s="10" t="inlineStr">
        <is>
          <t>שותף — פרויקט נפגעי מלחמה</t>
        </is>
      </c>
    </row>
    <row r="22" ht="22" customHeight="1">
      <c r="A22" s="15" t="inlineStr">
        <is>
          <t>סה"כ משקיעים/שותפים (נוסחה)</t>
        </is>
      </c>
      <c r="D22" s="15">
        <f>COUNTA(A14:A21)</f>
        <v/>
      </c>
    </row>
  </sheetData>
  <mergeCells count="15">
    <mergeCell ref="A10:C10"/>
    <mergeCell ref="A1:D1"/>
    <mergeCell ref="B19:D19"/>
    <mergeCell ref="B14:D14"/>
    <mergeCell ref="A12:D12"/>
    <mergeCell ref="A4:D4"/>
    <mergeCell ref="A22:C22"/>
    <mergeCell ref="B17:D17"/>
    <mergeCell ref="B18:D18"/>
    <mergeCell ref="B13:D13"/>
    <mergeCell ref="B21:D21"/>
    <mergeCell ref="A2:D2"/>
    <mergeCell ref="B15:D15"/>
    <mergeCell ref="B16:D16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22" customWidth="1" min="4" max="4"/>
  </cols>
  <sheetData>
    <row r="1" ht="36" customHeight="1">
      <c r="A1" s="1" t="inlineStr">
        <is>
          <t>מודל עסקי ונוכחות דיגיטלית — Citizen Impact</t>
        </is>
      </c>
    </row>
    <row r="2" ht="24" customHeight="1">
      <c r="A2" s="18" t="inlineStr">
        <is>
          <t>B2B SaaS · B2C · פרויקטים ממשלתיים · עוגן</t>
        </is>
      </c>
    </row>
    <row r="4" ht="22" customHeight="1">
      <c r="A4" s="3" t="inlineStr">
        <is>
          <t>💡  מודל ההכנסות</t>
        </is>
      </c>
    </row>
    <row r="5" ht="20" customHeight="1">
      <c r="A5" s="4" t="inlineStr">
        <is>
          <t>ערוץ</t>
        </is>
      </c>
      <c r="B5" s="4" t="inlineStr">
        <is>
          <t>לקוח / קהל</t>
        </is>
      </c>
      <c r="C5" s="4" t="inlineStr">
        <is>
          <t>פתרון / ערך</t>
        </is>
      </c>
      <c r="D5" s="4" t="inlineStr">
        <is>
          <t>מודל תמחור</t>
        </is>
      </c>
    </row>
    <row r="6" ht="30" customHeight="1">
      <c r="A6" s="7" t="inlineStr">
        <is>
          <t>B2B SaaS</t>
        </is>
      </c>
      <c r="B6" s="8" t="inlineStr">
        <is>
          <t>מוסדות פיננסיים, בנקים</t>
        </is>
      </c>
      <c r="C6" s="8" t="inlineStr">
        <is>
          <t>הפחתת חוב אבוד, שיפור RAROC</t>
        </is>
      </c>
      <c r="D6" s="8" t="inlineStr">
        <is>
          <t>מנוי חודשי / שנתי</t>
        </is>
      </c>
    </row>
    <row r="7" ht="30" customHeight="1">
      <c r="A7" s="9" t="inlineStr">
        <is>
          <t>B2B — עיריות</t>
        </is>
      </c>
      <c r="B7" s="10" t="inlineStr">
        <is>
          <t>רשויות מקומיות, ממשל</t>
        </is>
      </c>
      <c r="C7" s="10" t="inlineStr">
        <is>
          <t>שירותי חוסן פיננסי לתושבים</t>
        </is>
      </c>
      <c r="D7" s="10" t="inlineStr">
        <is>
          <t>פרויקט + רישיון</t>
        </is>
      </c>
    </row>
    <row r="8" ht="30" customHeight="1">
      <c r="A8" s="7" t="inlineStr">
        <is>
          <t>B2C ישיר</t>
        </is>
      </c>
      <c r="B8" s="8" t="inlineStr">
        <is>
          <t>אזרחים פרטיים</t>
        </is>
      </c>
      <c r="C8" s="8" t="inlineStr">
        <is>
          <t>שיקום פיננסי, ייעוץ AI</t>
        </is>
      </c>
      <c r="D8" s="8" t="inlineStr">
        <is>
          <t>מנוי משתמש</t>
        </is>
      </c>
    </row>
    <row r="9" ht="30" customHeight="1">
      <c r="A9" s="9" t="inlineStr">
        <is>
          <t>ייעוץ ופרויקטים</t>
        </is>
      </c>
      <c r="B9" s="10" t="inlineStr">
        <is>
          <t>ארגונים, עמותות</t>
        </is>
      </c>
      <c r="C9" s="10" t="inlineStr">
        <is>
          <t>פרויקטים ממוקדים (עוגן, מלחמה)</t>
        </is>
      </c>
      <c r="D9" s="10" t="inlineStr">
        <is>
          <t>Fee per project</t>
        </is>
      </c>
    </row>
    <row r="10" ht="30" customHeight="1">
      <c r="A10" s="7" t="inlineStr">
        <is>
          <t>שותפויות אסטרטגיות</t>
        </is>
      </c>
      <c r="B10" s="8" t="inlineStr">
        <is>
          <t>Mastercard, בנקים</t>
        </is>
      </c>
      <c r="C10" s="8" t="inlineStr">
        <is>
          <t>הרחבת כיסוי, גישה ללקוחות</t>
        </is>
      </c>
      <c r="D10" s="8" t="inlineStr">
        <is>
          <t>Revenue share</t>
        </is>
      </c>
    </row>
    <row r="11" ht="22" customHeight="1">
      <c r="A11" s="15" t="inlineStr">
        <is>
          <t>סה"כ ערוצי הכנסה (נוסחה)</t>
        </is>
      </c>
      <c r="D11" s="15">
        <f>COUNTA(A6:A10)</f>
        <v/>
      </c>
    </row>
    <row r="13" ht="22" customHeight="1">
      <c r="A13" s="3" t="inlineStr">
        <is>
          <t>🚀  פרויקטים פעילים</t>
        </is>
      </c>
    </row>
    <row r="14" ht="20" customHeight="1">
      <c r="A14" s="4" t="inlineStr">
        <is>
          <t>פרויקט</t>
        </is>
      </c>
      <c r="B14" s="4" t="inlineStr">
        <is>
          <t>קהל יעד</t>
        </is>
      </c>
      <c r="C14" s="4" t="inlineStr">
        <is>
          <t>URL</t>
        </is>
      </c>
      <c r="D14" s="4" t="inlineStr">
        <is>
          <t>שותף</t>
        </is>
      </c>
    </row>
    <row r="15" ht="22" customHeight="1">
      <c r="A15" s="7" t="inlineStr">
        <is>
          <t>לקוחות פרטיים</t>
        </is>
      </c>
      <c r="B15" s="8" t="inlineStr">
        <is>
          <t>אזרחים פרטיים</t>
        </is>
      </c>
      <c r="C15" s="8" t="inlineStr">
        <is>
          <t>client.is.citizen-ai.org/#/?customer=35</t>
        </is>
      </c>
      <c r="D15" s="8" t="inlineStr">
        <is>
          <t>—</t>
        </is>
      </c>
    </row>
    <row r="16" ht="22" customHeight="1">
      <c r="A16" s="9" t="inlineStr">
        <is>
          <t>ייעוץ משכנתאות</t>
        </is>
      </c>
      <c r="B16" s="10" t="inlineStr">
        <is>
          <t>רוכשי דירות</t>
        </is>
      </c>
      <c r="C16" s="10" t="inlineStr">
        <is>
          <t>client.is.citizen-ai.org/#/?customer=42</t>
        </is>
      </c>
      <c r="D16" s="10" t="inlineStr">
        <is>
          <t>—</t>
        </is>
      </c>
    </row>
    <row r="17" ht="22" customHeight="1">
      <c r="A17" s="7" t="inlineStr">
        <is>
          <t>נפגעי מלחמה</t>
        </is>
      </c>
      <c r="B17" s="8" t="inlineStr">
        <is>
          <t>עוטף עזה + צפון</t>
        </is>
      </c>
      <c r="C17" s="8" t="inlineStr">
        <is>
          <t>ogen.org</t>
        </is>
      </c>
      <c r="D17" s="8" t="inlineStr">
        <is>
          <t>עוגן</t>
        </is>
      </c>
    </row>
    <row r="18" ht="22" customHeight="1">
      <c r="A18" s="9" t="inlineStr">
        <is>
          <t>CustomerHome 44–48</t>
        </is>
      </c>
      <c r="B18" s="10" t="inlineStr">
        <is>
          <t>סגמנטים שונים</t>
        </is>
      </c>
      <c r="C18" s="10" t="inlineStr">
        <is>
          <t>landing.is.citizen-ai.org</t>
        </is>
      </c>
      <c r="D18" s="10" t="inlineStr">
        <is>
          <t>—</t>
        </is>
      </c>
    </row>
    <row r="19" ht="22" customHeight="1">
      <c r="A19" s="7" t="inlineStr">
        <is>
          <t>B2B — בנקים</t>
        </is>
      </c>
      <c r="B19" s="8" t="inlineStr">
        <is>
          <t>מוסדות פיננסיים</t>
        </is>
      </c>
      <c r="C19" s="8" t="inlineStr">
        <is>
          <t>www.citizens-ai.com</t>
        </is>
      </c>
      <c r="D19" s="8" t="inlineStr">
        <is>
          <t>Mastercard</t>
        </is>
      </c>
    </row>
    <row r="20" ht="22" customHeight="1">
      <c r="A20" s="15" t="inlineStr">
        <is>
          <t>סה"כ פרויקטים פעילים (נוסחה)</t>
        </is>
      </c>
      <c r="D20" s="15">
        <f>COUNTA(A15:A19)</f>
        <v/>
      </c>
    </row>
    <row r="22" ht="22" customHeight="1">
      <c r="A22" s="3" t="inlineStr">
        <is>
          <t>🎯  אתגרים שנפתרים ללקוחות B2B</t>
        </is>
      </c>
    </row>
    <row r="23" ht="20" customHeight="1">
      <c r="A23" s="4" t="inlineStr">
        <is>
          <t>אתגר</t>
        </is>
      </c>
      <c r="B23" s="4" t="inlineStr">
        <is>
          <t>פתרון Citizen Impact</t>
        </is>
      </c>
      <c r="C23" s="5" t="n"/>
      <c r="D23" s="6" t="n"/>
    </row>
    <row r="24" ht="26" customHeight="1">
      <c r="A24" s="7" t="inlineStr">
        <is>
          <t>הפחתת חוב אבוד (Bad Debt)</t>
        </is>
      </c>
      <c r="B24" s="8" t="inlineStr">
        <is>
          <t>זיהוי לקוחות בסיכון בזמן אמת + תוכנית שיקום מותאמת</t>
        </is>
      </c>
    </row>
    <row r="25" ht="26" customHeight="1">
      <c r="A25" s="9" t="inlineStr">
        <is>
          <t>שיפור RAROC</t>
        </is>
      </c>
      <c r="B25" s="10" t="inlineStr">
        <is>
          <t>הגדלת תשואה מסוכנת — לקוחות משקמים הלוואות</t>
        </is>
      </c>
    </row>
    <row r="26" ht="26" customHeight="1">
      <c r="A26" s="7" t="inlineStr">
        <is>
          <t>נאמנות לקוחות</t>
        </is>
      </c>
      <c r="B26" s="8" t="inlineStr">
        <is>
          <t>ליווי מתמשך שמגדיל Lifetime Value ומוריד Churn</t>
        </is>
      </c>
    </row>
    <row r="27" ht="26" customHeight="1">
      <c r="A27" s="9" t="inlineStr">
        <is>
          <t>עלות ייעוץ גבוהה</t>
        </is>
      </c>
      <c r="B27" s="10" t="inlineStr">
        <is>
          <t>AI מחליף חלק מהייעוץ האנושי — חיסכון תפעולי</t>
        </is>
      </c>
    </row>
    <row r="29" ht="22" customHeight="1">
      <c r="A29" s="3" t="inlineStr">
        <is>
          <t>🌐  נוכחות דיגיטלית</t>
        </is>
      </c>
    </row>
    <row r="30" ht="20" customHeight="1">
      <c r="A30" s="4" t="inlineStr">
        <is>
          <t>פלטפורמה</t>
        </is>
      </c>
      <c r="B30" s="4" t="inlineStr">
        <is>
          <t>כתובת</t>
        </is>
      </c>
      <c r="C30" s="4" t="inlineStr">
        <is>
          <t>קהל</t>
        </is>
      </c>
      <c r="D30" s="4" t="inlineStr">
        <is>
          <t>מטרה</t>
        </is>
      </c>
    </row>
    <row r="31" ht="20" customHeight="1">
      <c r="A31" s="7" t="inlineStr">
        <is>
          <t>אתר B2B</t>
        </is>
      </c>
      <c r="B31" s="8" t="inlineStr">
        <is>
          <t>www.citizens-ai.com</t>
        </is>
      </c>
      <c r="C31" s="8" t="inlineStr">
        <is>
          <t>מוסדות פיננסיים</t>
        </is>
      </c>
      <c r="D31" s="8" t="inlineStr">
        <is>
          <t>הצגת הפתרון, מכירה</t>
        </is>
      </c>
    </row>
    <row r="32" ht="20" customHeight="1">
      <c r="A32" s="9" t="inlineStr">
        <is>
          <t>פלטפורמת לקוחות</t>
        </is>
      </c>
      <c r="B32" s="10" t="inlineStr">
        <is>
          <t>landing.is.citizen-ai.org</t>
        </is>
      </c>
      <c r="C32" s="10" t="inlineStr">
        <is>
          <t>אזרחים פרטיים</t>
        </is>
      </c>
      <c r="D32" s="10" t="inlineStr">
        <is>
          <t>גיוס ושימור לקוחות</t>
        </is>
      </c>
    </row>
    <row r="33" ht="20" customHeight="1">
      <c r="A33" s="7" t="inlineStr">
        <is>
          <t>אימייל</t>
        </is>
      </c>
      <c r="B33" s="8" t="inlineStr">
        <is>
          <t>info@citizens-ai.com</t>
        </is>
      </c>
      <c r="C33" s="8" t="inlineStr">
        <is>
          <t>כל קהל</t>
        </is>
      </c>
      <c r="D33" s="8" t="inlineStr">
        <is>
          <t>יצירת קשר</t>
        </is>
      </c>
    </row>
    <row r="34" ht="20" customHeight="1">
      <c r="A34" s="9" t="inlineStr">
        <is>
          <t>טלפון</t>
        </is>
      </c>
      <c r="B34" s="10" t="inlineStr">
        <is>
          <t>074-7281259</t>
        </is>
      </c>
      <c r="C34" s="10" t="inlineStr">
        <is>
          <t>כל קהל</t>
        </is>
      </c>
      <c r="D34" s="10" t="inlineStr">
        <is>
          <t>תמיכה</t>
        </is>
      </c>
    </row>
  </sheetData>
  <mergeCells count="13">
    <mergeCell ref="A1:D1"/>
    <mergeCell ref="A11:C11"/>
    <mergeCell ref="A22:D22"/>
    <mergeCell ref="B23:D23"/>
    <mergeCell ref="A4:D4"/>
    <mergeCell ref="B26:D26"/>
    <mergeCell ref="B27:D27"/>
    <mergeCell ref="A29:D29"/>
    <mergeCell ref="A2:D2"/>
    <mergeCell ref="B25:D25"/>
    <mergeCell ref="A20:C20"/>
    <mergeCell ref="B24:D2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2026-06-03T08:28:41Z</dcterms:created>
  <dcterms:modified xsi:type="dcterms:W3CDTF">2026-06-03T08:28:41Z</dcterms:modified>
</cp:coreProperties>
</file>